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_workspace\BLUE_FPGA\xdaq_top\doc\"/>
    </mc:Choice>
  </mc:AlternateContent>
  <xr:revisionPtr revIDLastSave="0" documentId="13_ncr:1_{2267B83D-4042-4645-B81C-C5037B880B30}" xr6:coauthVersionLast="47" xr6:coauthVersionMax="47" xr10:uidLastSave="{00000000-0000-0000-0000-000000000000}"/>
  <bookViews>
    <workbookView xWindow="29025" yWindow="870" windowWidth="26040" windowHeight="14115" activeTab="1" xr2:uid="{00000000-000D-0000-FFFF-FFFF00000000}"/>
  </bookViews>
  <sheets>
    <sheet name="71124 timing" sheetId="1" r:id="rId1"/>
    <sheet name="71124 timing setu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2" l="1"/>
  <c r="F31" i="2"/>
  <c r="H31" i="2" s="1"/>
  <c r="H34" i="2" s="1"/>
  <c r="L31" i="1"/>
  <c r="L30" i="1"/>
  <c r="K31" i="1"/>
  <c r="H31" i="1"/>
  <c r="F31" i="1"/>
  <c r="B30" i="1"/>
  <c r="D31" i="1" s="1"/>
  <c r="L26" i="2"/>
  <c r="L24" i="2"/>
  <c r="L22" i="2"/>
  <c r="B30" i="2"/>
  <c r="D31" i="2" s="1"/>
  <c r="D17" i="1"/>
  <c r="F17" i="1" s="1"/>
  <c r="D18" i="1"/>
  <c r="F18" i="1" s="1"/>
  <c r="E25" i="1"/>
  <c r="C22" i="1"/>
  <c r="D21" i="1"/>
  <c r="C21" i="1"/>
  <c r="D16" i="1"/>
  <c r="D15" i="1"/>
  <c r="D27" i="1" s="1"/>
  <c r="D14" i="1"/>
  <c r="D23" i="1" s="1"/>
  <c r="D13" i="1"/>
  <c r="C23" i="1" s="1"/>
  <c r="D12" i="1"/>
  <c r="D24" i="1" s="1"/>
  <c r="D11" i="1"/>
  <c r="D22" i="1" s="1"/>
  <c r="E22" i="1" s="1"/>
  <c r="D10" i="1"/>
  <c r="F10" i="1" s="1"/>
  <c r="D9" i="1"/>
  <c r="F9" i="1" s="1"/>
  <c r="D8" i="1"/>
  <c r="G9" i="1" s="1"/>
  <c r="D5" i="1"/>
  <c r="F3" i="1"/>
  <c r="N20" i="1"/>
  <c r="N25" i="1"/>
  <c r="N24" i="1"/>
  <c r="N23" i="1"/>
  <c r="N22" i="1"/>
  <c r="N21" i="1"/>
  <c r="N25" i="2"/>
  <c r="N23" i="2"/>
  <c r="N21" i="2"/>
  <c r="N22" i="2"/>
  <c r="N24" i="2"/>
  <c r="N20" i="2"/>
  <c r="E25" i="2"/>
  <c r="D21" i="2"/>
  <c r="C21" i="2"/>
  <c r="D16" i="2"/>
  <c r="D15" i="2"/>
  <c r="D14" i="2"/>
  <c r="D23" i="2" s="1"/>
  <c r="D13" i="2"/>
  <c r="C23" i="2" s="1"/>
  <c r="D12" i="2"/>
  <c r="D11" i="2"/>
  <c r="D10" i="2"/>
  <c r="D9" i="2"/>
  <c r="C26" i="2" s="1"/>
  <c r="D8" i="2"/>
  <c r="G9" i="2" s="1"/>
  <c r="D5" i="2"/>
  <c r="F7" i="2" s="1"/>
  <c r="F3" i="2"/>
  <c r="L31" i="2" l="1"/>
  <c r="M31" i="2" s="1"/>
  <c r="N31" i="2" s="1"/>
  <c r="E30" i="1"/>
  <c r="F30" i="1" s="1"/>
  <c r="E21" i="2"/>
  <c r="E30" i="2"/>
  <c r="F7" i="1"/>
  <c r="F16" i="1"/>
  <c r="F15" i="1"/>
  <c r="F14" i="1"/>
  <c r="E23" i="1"/>
  <c r="F13" i="1"/>
  <c r="F12" i="1"/>
  <c r="F11" i="1"/>
  <c r="E21" i="1"/>
  <c r="C24" i="1"/>
  <c r="E24" i="1" s="1"/>
  <c r="C26" i="1"/>
  <c r="D26" i="1"/>
  <c r="C27" i="1"/>
  <c r="E27" i="1" s="1"/>
  <c r="F12" i="2"/>
  <c r="E23" i="2"/>
  <c r="F10" i="2"/>
  <c r="F15" i="2"/>
  <c r="C22" i="2"/>
  <c r="D26" i="2"/>
  <c r="E26" i="2" s="1"/>
  <c r="F11" i="2"/>
  <c r="F16" i="2"/>
  <c r="D27" i="2"/>
  <c r="C27" i="2"/>
  <c r="F13" i="2"/>
  <c r="F14" i="2"/>
  <c r="D22" i="2"/>
  <c r="F9" i="2"/>
  <c r="C24" i="2"/>
  <c r="D24" i="2"/>
  <c r="E24" i="2" s="1"/>
  <c r="E22" i="2" l="1"/>
  <c r="E26" i="1"/>
  <c r="E27" i="2"/>
</calcChain>
</file>

<file path=xl/sharedStrings.xml><?xml version="1.0" encoding="utf-8"?>
<sst xmlns="http://schemas.openxmlformats.org/spreadsheetml/2006/main" count="140" uniqueCount="42">
  <si>
    <t>clock</t>
    <phoneticPr fontId="1" type="noConversion"/>
  </si>
  <si>
    <t>ns</t>
    <phoneticPr fontId="1" type="noConversion"/>
  </si>
  <si>
    <t>aclk</t>
    <phoneticPr fontId="1" type="noConversion"/>
  </si>
  <si>
    <t>sync</t>
    <phoneticPr fontId="1" type="noConversion"/>
  </si>
  <si>
    <t>start</t>
    <phoneticPr fontId="1" type="noConversion"/>
  </si>
  <si>
    <t xml:space="preserve">end </t>
    <phoneticPr fontId="1" type="noConversion"/>
  </si>
  <si>
    <t>line time</t>
    <phoneticPr fontId="1" type="noConversion"/>
  </si>
  <si>
    <t>us</t>
    <phoneticPr fontId="1" type="noConversion"/>
  </si>
  <si>
    <t>INTRST</t>
    <phoneticPr fontId="1" type="noConversion"/>
  </si>
  <si>
    <t>FA</t>
    <phoneticPr fontId="1" type="noConversion"/>
  </si>
  <si>
    <t>CDS1</t>
    <phoneticPr fontId="1" type="noConversion"/>
  </si>
  <si>
    <t>CDS2</t>
    <phoneticPr fontId="1" type="noConversion"/>
  </si>
  <si>
    <t>clk</t>
    <phoneticPr fontId="1" type="noConversion"/>
  </si>
  <si>
    <t>time</t>
    <phoneticPr fontId="1" type="noConversion"/>
  </si>
  <si>
    <t>delta</t>
    <phoneticPr fontId="1" type="noConversion"/>
  </si>
  <si>
    <t>sum</t>
    <phoneticPr fontId="1" type="noConversion"/>
  </si>
  <si>
    <t>t syncdclk</t>
    <phoneticPr fontId="1" type="noConversion"/>
  </si>
  <si>
    <t>min 20ns</t>
    <phoneticPr fontId="1" type="noConversion"/>
  </si>
  <si>
    <t>t dafedclk</t>
    <phoneticPr fontId="1" type="noConversion"/>
  </si>
  <si>
    <t>min 520ns</t>
    <phoneticPr fontId="1" type="noConversion"/>
  </si>
  <si>
    <t>BURST_BREAK_PT_0</t>
    <phoneticPr fontId="1" type="noConversion"/>
  </si>
  <si>
    <t>BURST_BREAK_PT_1</t>
    <phoneticPr fontId="1" type="noConversion"/>
  </si>
  <si>
    <t>BURST_BREAK_PT_2</t>
    <phoneticPr fontId="1" type="noConversion"/>
  </si>
  <si>
    <t>BURST_BREAK_PT_3</t>
    <phoneticPr fontId="1" type="noConversion"/>
  </si>
  <si>
    <t>-</t>
    <phoneticPr fontId="1" type="noConversion"/>
  </si>
  <si>
    <t>up</t>
    <phoneticPr fontId="1" type="noConversion"/>
  </si>
  <si>
    <t>dn</t>
    <phoneticPr fontId="1" type="noConversion"/>
  </si>
  <si>
    <t>DCLK</t>
    <phoneticPr fontId="1" type="noConversion"/>
  </si>
  <si>
    <t>EA</t>
    <phoneticPr fontId="1" type="noConversion"/>
  </si>
  <si>
    <t>t mute</t>
    <phoneticPr fontId="1" type="noConversion"/>
  </si>
  <si>
    <t>active clk</t>
    <phoneticPr fontId="1" type="noConversion"/>
  </si>
  <si>
    <t>t burst</t>
    <phoneticPr fontId="1" type="noConversion"/>
  </si>
  <si>
    <t>Mhz</t>
    <phoneticPr fontId="1" type="noConversion"/>
  </si>
  <si>
    <t>burst DCLK</t>
    <phoneticPr fontId="1" type="noConversion"/>
  </si>
  <si>
    <t>burst count</t>
    <phoneticPr fontId="1" type="noConversion"/>
  </si>
  <si>
    <t>PT 0 DN</t>
    <phoneticPr fontId="1" type="noConversion"/>
  </si>
  <si>
    <t>UP</t>
    <phoneticPr fontId="1" type="noConversion"/>
  </si>
  <si>
    <t>DN</t>
    <phoneticPr fontId="1" type="noConversion"/>
  </si>
  <si>
    <t>PT 1</t>
    <phoneticPr fontId="1" type="noConversion"/>
  </si>
  <si>
    <t>PT 2</t>
    <phoneticPr fontId="1" type="noConversion"/>
  </si>
  <si>
    <t>PT 3</t>
    <phoneticPr fontId="1" type="noConversion"/>
  </si>
  <si>
    <t>total DCLK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</si>
</sst>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quotePrefix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0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1" xfId="0" applyFill="1" applyBorder="1"/>
    <xf numFmtId="0" fontId="0" fillId="6" borderId="0" xfId="0" applyFill="1"/>
    <xf numFmtId="0" fontId="0" fillId="7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19049</xdr:colOff>
      <xdr:row>1</xdr:row>
      <xdr:rowOff>38762</xdr:rowOff>
    </xdr:from>
    <xdr:to>
      <xdr:col>20</xdr:col>
      <xdr:colOff>639688</xdr:colOff>
      <xdr:row>15</xdr:row>
      <xdr:rowOff>172998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892E2B-F08C-AA7D-6749-3F7FD4DE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49" y="248312"/>
          <a:ext cx="8164439" cy="3067936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14</xdr:row>
      <xdr:rowOff>76200</xdr:rowOff>
    </xdr:from>
    <xdr:to>
      <xdr:col>13</xdr:col>
      <xdr:colOff>9525</xdr:colOff>
      <xdr:row>19</xdr:row>
      <xdr:rowOff>47625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31A6D213-FFF2-477A-B510-1CC2820BF9AB}"/>
            </a:ext>
          </a:extLst>
        </xdr:cNvPr>
        <xdr:cNvCxnSpPr/>
      </xdr:nvCxnSpPr>
      <xdr:spPr>
        <a:xfrm flipH="1" flipV="1">
          <a:off x="8334375" y="3009900"/>
          <a:ext cx="590550" cy="10191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14</xdr:row>
      <xdr:rowOff>85725</xdr:rowOff>
    </xdr:from>
    <xdr:to>
      <xdr:col>13</xdr:col>
      <xdr:colOff>142875</xdr:colOff>
      <xdr:row>20</xdr:row>
      <xdr:rowOff>38100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DAF0BE90-1D31-4F18-8153-9BB1CA7BFF8B}"/>
            </a:ext>
          </a:extLst>
        </xdr:cNvPr>
        <xdr:cNvCxnSpPr/>
      </xdr:nvCxnSpPr>
      <xdr:spPr>
        <a:xfrm flipV="1">
          <a:off x="9001125" y="3019425"/>
          <a:ext cx="57150" cy="12096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14</xdr:row>
      <xdr:rowOff>76200</xdr:rowOff>
    </xdr:from>
    <xdr:to>
      <xdr:col>13</xdr:col>
      <xdr:colOff>219075</xdr:colOff>
      <xdr:row>21</xdr:row>
      <xdr:rowOff>76200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BFAF6812-F8EC-45A6-93B0-8D17D7C7F0D3}"/>
            </a:ext>
          </a:extLst>
        </xdr:cNvPr>
        <xdr:cNvCxnSpPr/>
      </xdr:nvCxnSpPr>
      <xdr:spPr>
        <a:xfrm flipV="1">
          <a:off x="9134475" y="3009900"/>
          <a:ext cx="0" cy="14668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676275</xdr:colOff>
      <xdr:row>14</xdr:row>
      <xdr:rowOff>66675</xdr:rowOff>
    </xdr:from>
    <xdr:to>
      <xdr:col>16</xdr:col>
      <xdr:colOff>76200</xdr:colOff>
      <xdr:row>22</xdr:row>
      <xdr:rowOff>57150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95A1BD24-DBB1-4567-B260-612EE368F6C2}"/>
            </a:ext>
          </a:extLst>
        </xdr:cNvPr>
        <xdr:cNvCxnSpPr/>
      </xdr:nvCxnSpPr>
      <xdr:spPr>
        <a:xfrm flipV="1">
          <a:off x="9591675" y="3000375"/>
          <a:ext cx="1457325" cy="16668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14</xdr:row>
      <xdr:rowOff>123825</xdr:rowOff>
    </xdr:from>
    <xdr:to>
      <xdr:col>16</xdr:col>
      <xdr:colOff>133350</xdr:colOff>
      <xdr:row>23</xdr:row>
      <xdr:rowOff>123825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AF84608D-2174-4F1B-B33D-C67A8F05DA5A}"/>
            </a:ext>
          </a:extLst>
        </xdr:cNvPr>
        <xdr:cNvCxnSpPr/>
      </xdr:nvCxnSpPr>
      <xdr:spPr>
        <a:xfrm flipV="1">
          <a:off x="9620250" y="3057525"/>
          <a:ext cx="1485900" cy="18859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628650</xdr:colOff>
      <xdr:row>14</xdr:row>
      <xdr:rowOff>133350</xdr:rowOff>
    </xdr:from>
    <xdr:to>
      <xdr:col>19</xdr:col>
      <xdr:colOff>190500</xdr:colOff>
      <xdr:row>24</xdr:row>
      <xdr:rowOff>180975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E12021FC-6194-4993-9A97-135C42B641F3}"/>
            </a:ext>
          </a:extLst>
        </xdr:cNvPr>
        <xdr:cNvCxnSpPr/>
      </xdr:nvCxnSpPr>
      <xdr:spPr>
        <a:xfrm flipV="1">
          <a:off x="9544050" y="3067050"/>
          <a:ext cx="3676650" cy="21431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1</xdr:row>
      <xdr:rowOff>19050</xdr:rowOff>
    </xdr:from>
    <xdr:to>
      <xdr:col>20</xdr:col>
      <xdr:colOff>639689</xdr:colOff>
      <xdr:row>15</xdr:row>
      <xdr:rowOff>153286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7F765AE-BE62-4A74-B758-BA6699CC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0" y="228600"/>
          <a:ext cx="8164439" cy="3067936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14</xdr:row>
      <xdr:rowOff>57150</xdr:rowOff>
    </xdr:from>
    <xdr:to>
      <xdr:col>13</xdr:col>
      <xdr:colOff>9525</xdr:colOff>
      <xdr:row>19</xdr:row>
      <xdr:rowOff>28575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97B44E8D-5B27-5254-E74E-CCE777E88253}"/>
            </a:ext>
          </a:extLst>
        </xdr:cNvPr>
        <xdr:cNvCxnSpPr/>
      </xdr:nvCxnSpPr>
      <xdr:spPr>
        <a:xfrm flipH="1" flipV="1">
          <a:off x="8334375" y="2990850"/>
          <a:ext cx="590550" cy="101917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14</xdr:row>
      <xdr:rowOff>66675</xdr:rowOff>
    </xdr:from>
    <xdr:to>
      <xdr:col>13</xdr:col>
      <xdr:colOff>142875</xdr:colOff>
      <xdr:row>20</xdr:row>
      <xdr:rowOff>19050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DA65EB26-3652-C3A3-27A6-02D5DEDC1356}"/>
            </a:ext>
          </a:extLst>
        </xdr:cNvPr>
        <xdr:cNvCxnSpPr/>
      </xdr:nvCxnSpPr>
      <xdr:spPr>
        <a:xfrm flipV="1">
          <a:off x="9001125" y="3000375"/>
          <a:ext cx="57150" cy="12096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14</xdr:row>
      <xdr:rowOff>57150</xdr:rowOff>
    </xdr:from>
    <xdr:to>
      <xdr:col>13</xdr:col>
      <xdr:colOff>219075</xdr:colOff>
      <xdr:row>21</xdr:row>
      <xdr:rowOff>57150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C2CDE5AB-7418-E4EB-7C16-2907C4C80497}"/>
            </a:ext>
          </a:extLst>
        </xdr:cNvPr>
        <xdr:cNvCxnSpPr/>
      </xdr:nvCxnSpPr>
      <xdr:spPr>
        <a:xfrm flipV="1">
          <a:off x="9134475" y="2990850"/>
          <a:ext cx="0" cy="14668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676275</xdr:colOff>
      <xdr:row>14</xdr:row>
      <xdr:rowOff>47625</xdr:rowOff>
    </xdr:from>
    <xdr:to>
      <xdr:col>16</xdr:col>
      <xdr:colOff>76200</xdr:colOff>
      <xdr:row>22</xdr:row>
      <xdr:rowOff>38100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E16BDA86-C30D-BD88-26DC-02977A727CE0}"/>
            </a:ext>
          </a:extLst>
        </xdr:cNvPr>
        <xdr:cNvCxnSpPr/>
      </xdr:nvCxnSpPr>
      <xdr:spPr>
        <a:xfrm flipV="1">
          <a:off x="9591675" y="2981325"/>
          <a:ext cx="1457325" cy="16668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14</xdr:row>
      <xdr:rowOff>104775</xdr:rowOff>
    </xdr:from>
    <xdr:to>
      <xdr:col>16</xdr:col>
      <xdr:colOff>133350</xdr:colOff>
      <xdr:row>23</xdr:row>
      <xdr:rowOff>104775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C510FAC3-C9F6-A5FF-4EAF-9918A1BA6DF6}"/>
            </a:ext>
          </a:extLst>
        </xdr:cNvPr>
        <xdr:cNvCxnSpPr/>
      </xdr:nvCxnSpPr>
      <xdr:spPr>
        <a:xfrm flipV="1">
          <a:off x="9620250" y="3038475"/>
          <a:ext cx="1485900" cy="18859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619125</xdr:colOff>
      <xdr:row>14</xdr:row>
      <xdr:rowOff>85725</xdr:rowOff>
    </xdr:from>
    <xdr:to>
      <xdr:col>19</xdr:col>
      <xdr:colOff>219075</xdr:colOff>
      <xdr:row>24</xdr:row>
      <xdr:rowOff>171450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FEC54BB9-E984-21CC-0662-EB3B52F48150}"/>
            </a:ext>
          </a:extLst>
        </xdr:cNvPr>
        <xdr:cNvCxnSpPr/>
      </xdr:nvCxnSpPr>
      <xdr:spPr>
        <a:xfrm flipV="1">
          <a:off x="9534525" y="3019425"/>
          <a:ext cx="3714750" cy="21812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"/>
  <sheetViews>
    <sheetView topLeftCell="A4" workbookViewId="0">
      <selection activeCell="E31" sqref="E31"/>
    </sheetView>
  </sheetViews>
  <sheetFormatPr defaultRowHeight="16.5" x14ac:dyDescent="0.3"/>
  <sheetData>
    <row r="2" spans="1:7" x14ac:dyDescent="0.3">
      <c r="B2" s="2" t="s">
        <v>0</v>
      </c>
      <c r="C2" s="2">
        <v>40</v>
      </c>
      <c r="D2" s="3" t="s">
        <v>1</v>
      </c>
      <c r="E2" s="4" t="s">
        <v>13</v>
      </c>
      <c r="F2" s="5">
        <v>60</v>
      </c>
      <c r="G2" s="2" t="s">
        <v>7</v>
      </c>
    </row>
    <row r="3" spans="1:7" x14ac:dyDescent="0.3">
      <c r="E3" s="4" t="s">
        <v>0</v>
      </c>
      <c r="F3" s="5">
        <f>(F2+D9)*1000/C2</f>
        <v>1607.9999999999998</v>
      </c>
      <c r="G3" s="2" t="s">
        <v>12</v>
      </c>
    </row>
    <row r="5" spans="1:7" x14ac:dyDescent="0.3">
      <c r="A5" s="2" t="s">
        <v>6</v>
      </c>
      <c r="B5" s="2"/>
      <c r="C5" s="2"/>
      <c r="D5" s="2">
        <f>((E7-C7)*C2)/1000</f>
        <v>166.32</v>
      </c>
      <c r="E5" s="2" t="s">
        <v>7</v>
      </c>
      <c r="F5" s="1" t="s">
        <v>14</v>
      </c>
      <c r="G5" s="1" t="s">
        <v>15</v>
      </c>
    </row>
    <row r="6" spans="1:7" x14ac:dyDescent="0.3">
      <c r="A6" s="6"/>
      <c r="B6" s="6"/>
      <c r="C6" s="6"/>
      <c r="D6" s="6"/>
      <c r="E6" s="6"/>
      <c r="F6" s="7"/>
      <c r="G6" s="6"/>
    </row>
    <row r="7" spans="1:7" x14ac:dyDescent="0.3">
      <c r="A7" s="2" t="s">
        <v>3</v>
      </c>
      <c r="B7" s="2" t="s">
        <v>4</v>
      </c>
      <c r="C7" s="2">
        <v>2</v>
      </c>
      <c r="D7" s="2" t="s">
        <v>5</v>
      </c>
      <c r="E7" s="2">
        <v>4160</v>
      </c>
      <c r="F7" s="2">
        <f>D5-D16</f>
        <v>6.1999999999999886</v>
      </c>
    </row>
    <row r="8" spans="1:7" x14ac:dyDescent="0.3">
      <c r="A8" s="2" t="s">
        <v>2</v>
      </c>
      <c r="B8" s="2">
        <v>0</v>
      </c>
      <c r="C8" s="2">
        <v>60</v>
      </c>
      <c r="D8" s="2">
        <f>((C8-$C$7)*$C$2)/1000</f>
        <v>2.3199999999999998</v>
      </c>
      <c r="E8" s="2" t="s">
        <v>7</v>
      </c>
      <c r="F8" s="2"/>
    </row>
    <row r="9" spans="1:7" x14ac:dyDescent="0.3">
      <c r="A9" s="8"/>
      <c r="B9" s="2">
        <v>1</v>
      </c>
      <c r="C9" s="2">
        <v>110</v>
      </c>
      <c r="D9" s="2">
        <f>((C9-$C$7)*$C$2)/1000</f>
        <v>4.32</v>
      </c>
      <c r="E9" s="2" t="s">
        <v>7</v>
      </c>
      <c r="F9" s="2">
        <f xml:space="preserve"> D9-D8</f>
        <v>2.0000000000000004</v>
      </c>
      <c r="G9">
        <f>D8+D9</f>
        <v>6.6400000000000006</v>
      </c>
    </row>
    <row r="10" spans="1:7" x14ac:dyDescent="0.3">
      <c r="A10" s="8"/>
      <c r="B10" s="14">
        <v>2</v>
      </c>
      <c r="C10" s="14">
        <v>360</v>
      </c>
      <c r="D10" s="14">
        <f>((C10-$C$7)*$C$2)/1000</f>
        <v>14.32</v>
      </c>
      <c r="E10" s="2" t="s">
        <v>7</v>
      </c>
      <c r="F10" s="2">
        <f t="shared" ref="F10:F16" si="0" xml:space="preserve"> D10-D9</f>
        <v>10</v>
      </c>
    </row>
    <row r="11" spans="1:7" x14ac:dyDescent="0.3">
      <c r="A11" s="8"/>
      <c r="B11" s="2">
        <v>3</v>
      </c>
      <c r="C11" s="2">
        <v>485</v>
      </c>
      <c r="D11" s="2">
        <f>((C11-$C$7)*$C$2)/1000</f>
        <v>19.32</v>
      </c>
      <c r="E11" s="2" t="s">
        <v>7</v>
      </c>
      <c r="F11" s="2">
        <f t="shared" si="0"/>
        <v>5</v>
      </c>
    </row>
    <row r="12" spans="1:7" x14ac:dyDescent="0.3">
      <c r="A12" s="8"/>
      <c r="B12" s="16">
        <v>4</v>
      </c>
      <c r="C12" s="16">
        <v>985</v>
      </c>
      <c r="D12" s="16">
        <f>((C12-$C$7)*$C$2)/1000</f>
        <v>39.32</v>
      </c>
      <c r="E12" s="2" t="s">
        <v>7</v>
      </c>
      <c r="F12" s="2">
        <f t="shared" si="0"/>
        <v>20</v>
      </c>
    </row>
    <row r="13" spans="1:7" x14ac:dyDescent="0.3">
      <c r="A13" s="8"/>
      <c r="B13" s="2">
        <v>5</v>
      </c>
      <c r="C13" s="2">
        <v>2500</v>
      </c>
      <c r="D13" s="2">
        <f>((C13-$C$7)*$C$2)/1000</f>
        <v>99.92</v>
      </c>
      <c r="E13" s="2" t="s">
        <v>7</v>
      </c>
      <c r="F13" s="2">
        <f t="shared" si="0"/>
        <v>60.6</v>
      </c>
    </row>
    <row r="14" spans="1:7" x14ac:dyDescent="0.3">
      <c r="A14" s="8"/>
      <c r="B14" s="2">
        <v>6</v>
      </c>
      <c r="C14" s="2">
        <v>2550</v>
      </c>
      <c r="D14" s="2">
        <f>((C14-$C$7)*$C$2)/1000</f>
        <v>101.92</v>
      </c>
      <c r="E14" s="2" t="s">
        <v>7</v>
      </c>
      <c r="F14" s="2">
        <f t="shared" si="0"/>
        <v>2</v>
      </c>
    </row>
    <row r="15" spans="1:7" x14ac:dyDescent="0.3">
      <c r="A15" s="8"/>
      <c r="B15" s="2">
        <v>7</v>
      </c>
      <c r="C15" s="2">
        <v>2630</v>
      </c>
      <c r="D15" s="2">
        <f>((C15-$C$7)*$C$2)/1000</f>
        <v>105.12</v>
      </c>
      <c r="E15" s="2" t="s">
        <v>7</v>
      </c>
      <c r="F15" s="2">
        <f t="shared" si="0"/>
        <v>3.2000000000000028</v>
      </c>
    </row>
    <row r="16" spans="1:7" x14ac:dyDescent="0.3">
      <c r="A16" s="8"/>
      <c r="B16" s="19">
        <v>8</v>
      </c>
      <c r="C16" s="19">
        <v>4005</v>
      </c>
      <c r="D16" s="19">
        <f>((C16-$C$7)*$C$2)/1000</f>
        <v>160.12</v>
      </c>
      <c r="E16" s="2" t="s">
        <v>7</v>
      </c>
      <c r="F16" s="2">
        <f t="shared" si="0"/>
        <v>55</v>
      </c>
    </row>
    <row r="17" spans="1:15" x14ac:dyDescent="0.3">
      <c r="A17" s="8"/>
      <c r="B17" s="17">
        <v>9</v>
      </c>
      <c r="C17" s="2">
        <v>4055</v>
      </c>
      <c r="D17" s="2">
        <f t="shared" ref="D17:D18" si="1">((C17-$C$7)*$C$2)/1000</f>
        <v>162.12</v>
      </c>
      <c r="E17" s="2" t="s">
        <v>7</v>
      </c>
      <c r="F17" s="2">
        <f t="shared" ref="F17:F18" si="2" xml:space="preserve"> D17-D16</f>
        <v>2</v>
      </c>
      <c r="L17" t="s">
        <v>16</v>
      </c>
      <c r="N17" t="s">
        <v>18</v>
      </c>
    </row>
    <row r="18" spans="1:15" x14ac:dyDescent="0.3">
      <c r="A18" s="8"/>
      <c r="B18" s="17">
        <v>10</v>
      </c>
      <c r="C18" s="2">
        <v>4060</v>
      </c>
      <c r="D18" s="2">
        <f t="shared" si="1"/>
        <v>162.32</v>
      </c>
      <c r="E18" s="2" t="s">
        <v>7</v>
      </c>
      <c r="F18" s="2">
        <f t="shared" si="2"/>
        <v>0.19999999999998863</v>
      </c>
      <c r="L18" t="s">
        <v>17</v>
      </c>
      <c r="N18" t="s">
        <v>19</v>
      </c>
    </row>
    <row r="20" spans="1:15" x14ac:dyDescent="0.3">
      <c r="G20" s="1" t="s">
        <v>25</v>
      </c>
      <c r="H20" s="1" t="s">
        <v>26</v>
      </c>
      <c r="J20" t="s">
        <v>20</v>
      </c>
      <c r="L20">
        <v>2</v>
      </c>
      <c r="M20">
        <v>14</v>
      </c>
      <c r="N20">
        <f>$C$2*(L20+M20)</f>
        <v>640</v>
      </c>
      <c r="O20" t="s">
        <v>1</v>
      </c>
    </row>
    <row r="21" spans="1:15" x14ac:dyDescent="0.3">
      <c r="A21" t="s">
        <v>8</v>
      </c>
      <c r="C21">
        <f>(C7*C2)/1000</f>
        <v>0.08</v>
      </c>
      <c r="D21">
        <f>((C10-C7)*C2)/1000</f>
        <v>14.32</v>
      </c>
      <c r="E21">
        <f>C21+D21</f>
        <v>14.4</v>
      </c>
      <c r="F21" t="s">
        <v>7</v>
      </c>
      <c r="G21">
        <v>10</v>
      </c>
      <c r="H21" s="13">
        <v>2</v>
      </c>
      <c r="L21" s="12" t="s">
        <v>24</v>
      </c>
      <c r="M21">
        <v>32</v>
      </c>
      <c r="N21">
        <f>$C$2*(L22-M21)</f>
        <v>13120</v>
      </c>
      <c r="O21" t="s">
        <v>1</v>
      </c>
    </row>
    <row r="22" spans="1:15" x14ac:dyDescent="0.3">
      <c r="A22" t="s">
        <v>9</v>
      </c>
      <c r="B22">
        <v>1</v>
      </c>
      <c r="C22">
        <f>D9</f>
        <v>4.32</v>
      </c>
      <c r="D22">
        <f>D11</f>
        <v>19.32</v>
      </c>
      <c r="E22">
        <f>D22-C22</f>
        <v>15</v>
      </c>
      <c r="F22" t="s">
        <v>7</v>
      </c>
      <c r="H22">
        <v>3</v>
      </c>
      <c r="J22" t="s">
        <v>21</v>
      </c>
      <c r="L22" s="13">
        <v>360</v>
      </c>
      <c r="M22">
        <v>14</v>
      </c>
      <c r="N22" s="13">
        <f>$C$2*(L22+M22)</f>
        <v>14960</v>
      </c>
      <c r="O22" t="s">
        <v>1</v>
      </c>
    </row>
    <row r="23" spans="1:15" x14ac:dyDescent="0.3">
      <c r="B23">
        <v>2</v>
      </c>
      <c r="C23">
        <f>D13</f>
        <v>99.92</v>
      </c>
      <c r="D23">
        <f>D14</f>
        <v>101.92</v>
      </c>
      <c r="E23">
        <f t="shared" ref="E23:E27" si="3">D23-C23</f>
        <v>2</v>
      </c>
      <c r="F23" t="s">
        <v>7</v>
      </c>
      <c r="H23">
        <v>7</v>
      </c>
      <c r="L23" s="12" t="s">
        <v>24</v>
      </c>
      <c r="M23">
        <v>32</v>
      </c>
      <c r="N23">
        <f>$C$2*(L24-M23)</f>
        <v>38120</v>
      </c>
      <c r="O23" t="s">
        <v>1</v>
      </c>
    </row>
    <row r="24" spans="1:15" x14ac:dyDescent="0.3">
      <c r="A24" t="s">
        <v>10</v>
      </c>
      <c r="B24">
        <v>1</v>
      </c>
      <c r="C24">
        <f>D9</f>
        <v>4.32</v>
      </c>
      <c r="D24">
        <f>D12</f>
        <v>39.32</v>
      </c>
      <c r="E24">
        <f t="shared" si="3"/>
        <v>35</v>
      </c>
      <c r="F24" t="s">
        <v>7</v>
      </c>
      <c r="G24">
        <v>1</v>
      </c>
      <c r="H24" s="15">
        <v>4</v>
      </c>
      <c r="J24" t="s">
        <v>22</v>
      </c>
      <c r="L24" s="15">
        <v>985</v>
      </c>
      <c r="M24">
        <v>14</v>
      </c>
      <c r="N24" s="15">
        <f>$C$2*(L24+M24)</f>
        <v>39960</v>
      </c>
      <c r="O24" t="s">
        <v>1</v>
      </c>
    </row>
    <row r="25" spans="1:15" x14ac:dyDescent="0.3">
      <c r="B25">
        <v>2</v>
      </c>
      <c r="E25">
        <f t="shared" si="3"/>
        <v>0</v>
      </c>
      <c r="F25" t="s">
        <v>7</v>
      </c>
      <c r="L25" s="12" t="s">
        <v>24</v>
      </c>
      <c r="M25">
        <v>32</v>
      </c>
      <c r="N25" s="18">
        <f>$C$2*(L26-M25)</f>
        <v>158920</v>
      </c>
      <c r="O25" t="s">
        <v>1</v>
      </c>
    </row>
    <row r="26" spans="1:15" x14ac:dyDescent="0.3">
      <c r="A26" t="s">
        <v>11</v>
      </c>
      <c r="B26">
        <v>1</v>
      </c>
      <c r="C26">
        <f>D9</f>
        <v>4.32</v>
      </c>
      <c r="D26">
        <f>D10</f>
        <v>14.32</v>
      </c>
      <c r="E26">
        <f t="shared" si="3"/>
        <v>10</v>
      </c>
      <c r="F26" t="s">
        <v>7</v>
      </c>
      <c r="J26" t="s">
        <v>23</v>
      </c>
      <c r="L26" s="18">
        <v>4005</v>
      </c>
    </row>
    <row r="27" spans="1:15" x14ac:dyDescent="0.3">
      <c r="B27">
        <v>2</v>
      </c>
      <c r="C27">
        <f>D13</f>
        <v>99.92</v>
      </c>
      <c r="D27">
        <f>D15</f>
        <v>105.12</v>
      </c>
      <c r="E27">
        <f t="shared" si="3"/>
        <v>5.2000000000000028</v>
      </c>
      <c r="F27" t="s">
        <v>7</v>
      </c>
      <c r="G27">
        <v>5</v>
      </c>
      <c r="H27" s="18">
        <v>8</v>
      </c>
    </row>
    <row r="29" spans="1:15" x14ac:dyDescent="0.3">
      <c r="B29" t="s">
        <v>27</v>
      </c>
      <c r="D29" t="s">
        <v>30</v>
      </c>
      <c r="E29" t="s">
        <v>29</v>
      </c>
      <c r="F29" t="s">
        <v>31</v>
      </c>
      <c r="H29" t="s">
        <v>33</v>
      </c>
      <c r="J29" t="s">
        <v>34</v>
      </c>
      <c r="L29" t="s">
        <v>35</v>
      </c>
    </row>
    <row r="30" spans="1:15" x14ac:dyDescent="0.3">
      <c r="B30">
        <f>(1/B31)*1000</f>
        <v>10</v>
      </c>
      <c r="C30" t="s">
        <v>1</v>
      </c>
      <c r="D30">
        <v>64</v>
      </c>
      <c r="E30">
        <f>MAX((645-(D30*B30)),50)</f>
        <v>50</v>
      </c>
      <c r="F30" s="22">
        <f xml:space="preserve"> (D31+E30) / B30</f>
        <v>69</v>
      </c>
      <c r="L30">
        <f>((40+H31*J31+ 560) / $C$2)</f>
        <v>385</v>
      </c>
    </row>
    <row r="31" spans="1:15" x14ac:dyDescent="0.3">
      <c r="B31">
        <v>100</v>
      </c>
      <c r="C31" t="s">
        <v>32</v>
      </c>
      <c r="D31">
        <f xml:space="preserve"> D30*B30</f>
        <v>640</v>
      </c>
      <c r="E31">
        <v>1210</v>
      </c>
      <c r="F31" s="22">
        <f xml:space="preserve"> (D31+E31) / B30</f>
        <v>185</v>
      </c>
      <c r="G31" t="s">
        <v>28</v>
      </c>
      <c r="H31">
        <f>F31*B30</f>
        <v>1850</v>
      </c>
      <c r="I31" t="s">
        <v>1</v>
      </c>
      <c r="J31">
        <v>8</v>
      </c>
      <c r="K31">
        <f>((30+H31*J31-($C$2*M21)))</f>
        <v>13550</v>
      </c>
      <c r="L31">
        <f>((40+H31*J31)/$C$2)</f>
        <v>371</v>
      </c>
    </row>
  </sheetData>
  <mergeCells count="1">
    <mergeCell ref="A9:A1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E29F-05BD-4DE0-A240-7DB3E24FD87D}">
  <dimension ref="A2:P34"/>
  <sheetViews>
    <sheetView tabSelected="1" topLeftCell="A7" workbookViewId="0">
      <selection activeCell="L31" sqref="L31"/>
    </sheetView>
  </sheetViews>
  <sheetFormatPr defaultRowHeight="16.5" x14ac:dyDescent="0.3"/>
  <sheetData>
    <row r="2" spans="1:7" x14ac:dyDescent="0.3">
      <c r="B2" s="2" t="s">
        <v>0</v>
      </c>
      <c r="C2" s="2">
        <v>40</v>
      </c>
      <c r="D2" s="3" t="s">
        <v>1</v>
      </c>
      <c r="E2" s="4" t="s">
        <v>13</v>
      </c>
      <c r="F2" s="5">
        <v>60</v>
      </c>
      <c r="G2" s="2" t="s">
        <v>7</v>
      </c>
    </row>
    <row r="3" spans="1:7" x14ac:dyDescent="0.3">
      <c r="E3" s="4" t="s">
        <v>0</v>
      </c>
      <c r="F3" s="5">
        <f>(F2+D9)*1000/C2</f>
        <v>1607.9999999999998</v>
      </c>
      <c r="G3" s="2" t="s">
        <v>12</v>
      </c>
    </row>
    <row r="5" spans="1:7" x14ac:dyDescent="0.3">
      <c r="A5" s="2" t="s">
        <v>6</v>
      </c>
      <c r="B5" s="2"/>
      <c r="C5" s="2"/>
      <c r="D5" s="2">
        <f>((E7-C7)*C2)/1000</f>
        <v>115.12</v>
      </c>
      <c r="E5" s="2" t="s">
        <v>7</v>
      </c>
      <c r="F5" s="1" t="s">
        <v>14</v>
      </c>
      <c r="G5" s="1" t="s">
        <v>15</v>
      </c>
    </row>
    <row r="6" spans="1:7" s="6" customFormat="1" x14ac:dyDescent="0.3">
      <c r="F6" s="7"/>
    </row>
    <row r="7" spans="1:7" x14ac:dyDescent="0.3">
      <c r="A7" s="2" t="s">
        <v>3</v>
      </c>
      <c r="B7" s="2" t="s">
        <v>4</v>
      </c>
      <c r="C7" s="2">
        <v>2</v>
      </c>
      <c r="D7" s="2" t="s">
        <v>5</v>
      </c>
      <c r="E7" s="2">
        <v>2880</v>
      </c>
      <c r="F7" s="2">
        <f>D5-D16</f>
        <v>0.88000000000000966</v>
      </c>
    </row>
    <row r="8" spans="1:7" x14ac:dyDescent="0.3">
      <c r="A8" s="2" t="s">
        <v>2</v>
      </c>
      <c r="B8" s="2">
        <v>0</v>
      </c>
      <c r="C8" s="2">
        <v>60</v>
      </c>
      <c r="D8" s="2">
        <f>((C8-$C$7)*$C$2)/1000</f>
        <v>2.3199999999999998</v>
      </c>
      <c r="E8" s="2" t="s">
        <v>7</v>
      </c>
      <c r="F8" s="2"/>
    </row>
    <row r="9" spans="1:7" x14ac:dyDescent="0.3">
      <c r="A9" s="9"/>
      <c r="B9" s="2">
        <v>1</v>
      </c>
      <c r="C9" s="2">
        <v>110</v>
      </c>
      <c r="D9" s="2">
        <f>((C9-$C$7)*$C$2)/1000</f>
        <v>4.32</v>
      </c>
      <c r="E9" s="2" t="s">
        <v>7</v>
      </c>
      <c r="F9" s="2">
        <f xml:space="preserve"> D9-D8</f>
        <v>2.0000000000000004</v>
      </c>
      <c r="G9">
        <f>D8+D9</f>
        <v>6.6400000000000006</v>
      </c>
    </row>
    <row r="10" spans="1:7" x14ac:dyDescent="0.3">
      <c r="A10" s="10"/>
      <c r="B10" s="14">
        <v>2</v>
      </c>
      <c r="C10" s="14">
        <v>860</v>
      </c>
      <c r="D10" s="14">
        <f>((C10-$C$7)*$C$2)/1000</f>
        <v>34.32</v>
      </c>
      <c r="E10" s="2" t="s">
        <v>7</v>
      </c>
      <c r="F10" s="2">
        <f t="shared" ref="F10:F16" si="0" xml:space="preserve"> D10-D9</f>
        <v>30</v>
      </c>
    </row>
    <row r="11" spans="1:7" x14ac:dyDescent="0.3">
      <c r="A11" s="10"/>
      <c r="B11" s="2">
        <v>3</v>
      </c>
      <c r="C11" s="2">
        <v>983</v>
      </c>
      <c r="D11" s="2">
        <f>((C11-$C$7)*$C$2)/1000</f>
        <v>39.24</v>
      </c>
      <c r="E11" s="2" t="s">
        <v>7</v>
      </c>
      <c r="F11" s="2">
        <f t="shared" si="0"/>
        <v>4.9200000000000017</v>
      </c>
    </row>
    <row r="12" spans="1:7" x14ac:dyDescent="0.3">
      <c r="A12" s="10"/>
      <c r="B12" s="16">
        <v>4</v>
      </c>
      <c r="C12" s="16">
        <v>1608</v>
      </c>
      <c r="D12" s="16">
        <f>((C12-$C$7)*$C$2)/1000</f>
        <v>64.239999999999995</v>
      </c>
      <c r="E12" s="2" t="s">
        <v>7</v>
      </c>
      <c r="F12" s="2">
        <f t="shared" si="0"/>
        <v>24.999999999999993</v>
      </c>
    </row>
    <row r="13" spans="1:7" x14ac:dyDescent="0.3">
      <c r="A13" s="10"/>
      <c r="B13" s="2">
        <v>5</v>
      </c>
      <c r="C13" s="2">
        <v>1858</v>
      </c>
      <c r="D13" s="2">
        <f>((C13-$C$7)*$C$2)/1000</f>
        <v>74.239999999999995</v>
      </c>
      <c r="E13" s="2" t="s">
        <v>7</v>
      </c>
      <c r="F13" s="2">
        <f t="shared" si="0"/>
        <v>10</v>
      </c>
    </row>
    <row r="14" spans="1:7" x14ac:dyDescent="0.3">
      <c r="A14" s="10"/>
      <c r="B14" s="2">
        <v>6</v>
      </c>
      <c r="C14" s="2">
        <v>1983</v>
      </c>
      <c r="D14" s="2">
        <f>((C14-$C$7)*$C$2)/1000</f>
        <v>79.239999999999995</v>
      </c>
      <c r="E14" s="2" t="s">
        <v>7</v>
      </c>
      <c r="F14" s="2">
        <f t="shared" si="0"/>
        <v>5</v>
      </c>
    </row>
    <row r="15" spans="1:7" x14ac:dyDescent="0.3">
      <c r="A15" s="10"/>
      <c r="B15" s="20">
        <v>7</v>
      </c>
      <c r="C15" s="20">
        <v>2733</v>
      </c>
      <c r="D15" s="20">
        <f>((C15-$C$7)*$C$2)/1000</f>
        <v>109.24</v>
      </c>
      <c r="E15" s="2" t="s">
        <v>7</v>
      </c>
      <c r="F15" s="2">
        <f t="shared" si="0"/>
        <v>30</v>
      </c>
    </row>
    <row r="16" spans="1:7" x14ac:dyDescent="0.3">
      <c r="A16" s="11"/>
      <c r="B16" s="2">
        <v>8</v>
      </c>
      <c r="C16" s="2">
        <v>2858</v>
      </c>
      <c r="D16" s="2">
        <f>((C16-$C$7)*$C$2)/1000</f>
        <v>114.24</v>
      </c>
      <c r="E16" s="2" t="s">
        <v>7</v>
      </c>
      <c r="F16" s="2">
        <f t="shared" si="0"/>
        <v>5</v>
      </c>
    </row>
    <row r="17" spans="1:16" x14ac:dyDescent="0.3">
      <c r="G17" s="1" t="s">
        <v>25</v>
      </c>
      <c r="H17" s="1" t="s">
        <v>26</v>
      </c>
      <c r="L17" t="s">
        <v>16</v>
      </c>
      <c r="N17" t="s">
        <v>18</v>
      </c>
    </row>
    <row r="18" spans="1:16" x14ac:dyDescent="0.3">
      <c r="L18" t="s">
        <v>17</v>
      </c>
      <c r="N18" t="s">
        <v>19</v>
      </c>
    </row>
    <row r="20" spans="1:16" x14ac:dyDescent="0.3">
      <c r="J20" t="s">
        <v>20</v>
      </c>
      <c r="L20">
        <v>2</v>
      </c>
      <c r="M20">
        <v>14</v>
      </c>
      <c r="N20">
        <f>$C$2*(L20+M20)</f>
        <v>640</v>
      </c>
      <c r="O20" t="s">
        <v>1</v>
      </c>
      <c r="P20" t="s">
        <v>36</v>
      </c>
    </row>
    <row r="21" spans="1:16" x14ac:dyDescent="0.3">
      <c r="A21" t="s">
        <v>8</v>
      </c>
      <c r="C21">
        <f>(C7*C2)/1000</f>
        <v>0.08</v>
      </c>
      <c r="D21">
        <f>((C10-C7)*C2)/1000</f>
        <v>34.32</v>
      </c>
      <c r="E21">
        <f>C21+D21</f>
        <v>34.4</v>
      </c>
      <c r="F21" t="s">
        <v>7</v>
      </c>
      <c r="G21">
        <v>8</v>
      </c>
      <c r="H21" s="13">
        <v>2</v>
      </c>
      <c r="L21" s="12" t="s">
        <v>24</v>
      </c>
      <c r="M21">
        <v>32</v>
      </c>
      <c r="N21">
        <f>$C$2*(L22-M21)</f>
        <v>33120</v>
      </c>
      <c r="O21" t="s">
        <v>1</v>
      </c>
      <c r="P21" t="s">
        <v>37</v>
      </c>
    </row>
    <row r="22" spans="1:16" x14ac:dyDescent="0.3">
      <c r="A22" t="s">
        <v>9</v>
      </c>
      <c r="B22">
        <v>1</v>
      </c>
      <c r="C22">
        <f>D9</f>
        <v>4.32</v>
      </c>
      <c r="D22">
        <f>D11</f>
        <v>39.24</v>
      </c>
      <c r="E22">
        <f>D22-C22</f>
        <v>34.92</v>
      </c>
      <c r="F22" t="s">
        <v>7</v>
      </c>
      <c r="H22">
        <v>3</v>
      </c>
      <c r="J22" t="s">
        <v>21</v>
      </c>
      <c r="L22" s="13">
        <f>C10</f>
        <v>860</v>
      </c>
      <c r="M22">
        <v>14</v>
      </c>
      <c r="N22" s="13">
        <f>$C$2*(L22+M22)</f>
        <v>34960</v>
      </c>
      <c r="O22" t="s">
        <v>1</v>
      </c>
      <c r="P22" t="s">
        <v>36</v>
      </c>
    </row>
    <row r="23" spans="1:16" x14ac:dyDescent="0.3">
      <c r="B23">
        <v>2</v>
      </c>
      <c r="C23">
        <f>D13</f>
        <v>74.239999999999995</v>
      </c>
      <c r="D23">
        <f>D14</f>
        <v>79.239999999999995</v>
      </c>
      <c r="E23">
        <f t="shared" ref="E23:E27" si="1">D23-C23</f>
        <v>5</v>
      </c>
      <c r="F23" t="s">
        <v>7</v>
      </c>
      <c r="H23">
        <v>6</v>
      </c>
      <c r="L23" s="12" t="s">
        <v>24</v>
      </c>
      <c r="M23">
        <v>32</v>
      </c>
      <c r="N23">
        <f>$C$2*(L24-M23)</f>
        <v>63040</v>
      </c>
      <c r="O23" t="s">
        <v>1</v>
      </c>
      <c r="P23" t="s">
        <v>37</v>
      </c>
    </row>
    <row r="24" spans="1:16" x14ac:dyDescent="0.3">
      <c r="A24" t="s">
        <v>10</v>
      </c>
      <c r="B24">
        <v>1</v>
      </c>
      <c r="C24">
        <f>D9</f>
        <v>4.32</v>
      </c>
      <c r="D24">
        <f>D12</f>
        <v>64.239999999999995</v>
      </c>
      <c r="E24">
        <f t="shared" si="1"/>
        <v>59.919999999999995</v>
      </c>
      <c r="F24" t="s">
        <v>7</v>
      </c>
      <c r="G24">
        <v>1</v>
      </c>
      <c r="H24" s="15">
        <v>4</v>
      </c>
      <c r="J24" t="s">
        <v>22</v>
      </c>
      <c r="L24" s="15">
        <f>C12</f>
        <v>1608</v>
      </c>
      <c r="M24">
        <v>14</v>
      </c>
      <c r="N24" s="15">
        <f>$C$2*(L24+M24)</f>
        <v>64880</v>
      </c>
      <c r="O24" t="s">
        <v>1</v>
      </c>
      <c r="P24" t="s">
        <v>36</v>
      </c>
    </row>
    <row r="25" spans="1:16" x14ac:dyDescent="0.3">
      <c r="B25">
        <v>2</v>
      </c>
      <c r="E25">
        <f t="shared" si="1"/>
        <v>0</v>
      </c>
      <c r="F25" t="s">
        <v>7</v>
      </c>
      <c r="L25" s="12" t="s">
        <v>24</v>
      </c>
      <c r="M25">
        <v>32</v>
      </c>
      <c r="N25" s="21">
        <f>$C$2*(L26-M25)</f>
        <v>108040</v>
      </c>
      <c r="O25" t="s">
        <v>1</v>
      </c>
      <c r="P25" t="s">
        <v>37</v>
      </c>
    </row>
    <row r="26" spans="1:16" x14ac:dyDescent="0.3">
      <c r="A26" t="s">
        <v>11</v>
      </c>
      <c r="B26">
        <v>1</v>
      </c>
      <c r="C26">
        <f>D9</f>
        <v>4.32</v>
      </c>
      <c r="D26">
        <f>D10</f>
        <v>34.32</v>
      </c>
      <c r="E26">
        <f t="shared" si="1"/>
        <v>30</v>
      </c>
      <c r="F26" t="s">
        <v>7</v>
      </c>
      <c r="J26" t="s">
        <v>23</v>
      </c>
      <c r="L26" s="21">
        <f>C15</f>
        <v>2733</v>
      </c>
    </row>
    <row r="27" spans="1:16" x14ac:dyDescent="0.3">
      <c r="B27">
        <v>2</v>
      </c>
      <c r="C27">
        <f>D13</f>
        <v>74.239999999999995</v>
      </c>
      <c r="D27">
        <f>D15</f>
        <v>109.24</v>
      </c>
      <c r="E27">
        <f t="shared" si="1"/>
        <v>35</v>
      </c>
      <c r="F27" t="s">
        <v>7</v>
      </c>
      <c r="G27">
        <v>5</v>
      </c>
      <c r="H27" s="21">
        <v>7</v>
      </c>
    </row>
    <row r="28" spans="1:16" x14ac:dyDescent="0.3">
      <c r="H28" s="21"/>
    </row>
    <row r="29" spans="1:16" x14ac:dyDescent="0.3">
      <c r="B29" t="s">
        <v>27</v>
      </c>
      <c r="D29" t="s">
        <v>30</v>
      </c>
      <c r="E29" t="s">
        <v>29</v>
      </c>
      <c r="F29" t="s">
        <v>31</v>
      </c>
      <c r="H29" t="s">
        <v>33</v>
      </c>
      <c r="J29" t="s">
        <v>34</v>
      </c>
      <c r="L29" t="s">
        <v>38</v>
      </c>
      <c r="M29" t="s">
        <v>39</v>
      </c>
      <c r="N29" t="s">
        <v>40</v>
      </c>
    </row>
    <row r="30" spans="1:16" x14ac:dyDescent="0.3">
      <c r="B30">
        <f>(1/B31)*1000</f>
        <v>10</v>
      </c>
      <c r="C30" t="s">
        <v>1</v>
      </c>
      <c r="D30">
        <v>64</v>
      </c>
      <c r="E30">
        <f>MAX((645-(D30*B30)),50)</f>
        <v>50</v>
      </c>
    </row>
    <row r="31" spans="1:16" x14ac:dyDescent="0.3">
      <c r="B31">
        <v>100</v>
      </c>
      <c r="C31" t="s">
        <v>32</v>
      </c>
      <c r="D31">
        <f xml:space="preserve"> D30*B30</f>
        <v>640</v>
      </c>
      <c r="E31">
        <v>60</v>
      </c>
      <c r="F31" s="22">
        <f xml:space="preserve"> (D31+E31) / B30</f>
        <v>70</v>
      </c>
      <c r="G31" t="s">
        <v>28</v>
      </c>
      <c r="H31">
        <f>F31*B30</f>
        <v>700</v>
      </c>
      <c r="I31" t="s">
        <v>1</v>
      </c>
      <c r="J31">
        <v>34</v>
      </c>
      <c r="L31">
        <f>((40+$H$31*$J$31+ $D$31 + ($C$2*M21))/$C$2)</f>
        <v>644</v>
      </c>
      <c r="M31">
        <f>(((L31+M20)*$C$2+40+$H$31*J32+ $D$31 + ($C$2*M23))/$C$2)</f>
        <v>707</v>
      </c>
      <c r="N31">
        <f>(((M31+M22)*$C$2+40+$H$31*J33+ $D$31 + ($C$2*M25))/$C$2)</f>
        <v>770</v>
      </c>
    </row>
    <row r="32" spans="1:16" x14ac:dyDescent="0.3">
      <c r="J32">
        <v>0</v>
      </c>
    </row>
    <row r="33" spans="8:10" x14ac:dyDescent="0.3">
      <c r="H33" t="s">
        <v>41</v>
      </c>
      <c r="J33">
        <f>J34-(J31+J32)</f>
        <v>0</v>
      </c>
    </row>
    <row r="34" spans="8:10" x14ac:dyDescent="0.3">
      <c r="H34">
        <f xml:space="preserve"> H31*J31</f>
        <v>23800</v>
      </c>
      <c r="I34" t="s">
        <v>1</v>
      </c>
      <c r="J34">
        <v>34</v>
      </c>
    </row>
  </sheetData>
  <mergeCells count="1">
    <mergeCell ref="A9:A1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71124 timing</vt:lpstr>
      <vt:lpstr>71124 timing 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</dc:creator>
  <cp:lastModifiedBy>holee9 holee9</cp:lastModifiedBy>
  <dcterms:created xsi:type="dcterms:W3CDTF">2015-06-05T18:19:34Z</dcterms:created>
  <dcterms:modified xsi:type="dcterms:W3CDTF">2024-12-31T02:20:33Z</dcterms:modified>
</cp:coreProperties>
</file>